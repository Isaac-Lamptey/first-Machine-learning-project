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V by Depth" sheetId="1" state="visible" r:id="rId3"/>
    <sheet name="Threshold &amp; Co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<sst xmlns="http://schemas.openxmlformats.org/spreadsheetml/2006/main" count="37" uniqueCount="37">
  <si>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Random Forest: 5-fold CV F1 by max_depth (training data only)</t>
  </si>
  <si>
    <t xml:space="preserve">max_depth</t>
  </si>
  <si>
    <t xml:space="preserve">F1 mean</t>
  </si>
  <si>
    <t xml:space="preserve">F1 std</t>
  </si>
  <si>
    <t xml:space="preserve">Mean - std</t>
  </si>
  <si>
    <t xml:space="preserve">Mean + std</t>
  </si>
  <si>
    <t xml:space="preserve">vs best</t>
  </si>
  <si>
    <t xml:space="preserve">2</t>
  </si>
  <si>
    <t xml:space="preserve">3</t>
  </si>
  <si>
    <t xml:space="preserve">5</t>
  </si>
  <si>
    <t xml:space="preserve">10</t>
  </si>
  <si>
    <t xml:space="preserve">None</t>
  </si>
  <si>
    <t xml:space="preserve">How to read: a depth is 'tied with best' if its mean F1 is within one fold-std of the best mean. Tied options are indistinguishable, so pick the simplest (here depth 5).</t>
  </si>
  <si>
    <t xml:space="preserve">Source: values copied from Isaac's own depth_sweep.py output (5-fold StratifiedKFold, scoring='f1', RandomForestClassifier, random_state=42). Blue = hardcoded inputs.</t>
  </si>
  <si>
    <t xml:space="preserve">Threshold tradeoff and cost scenario (RF depth 5, cross-validated probabilities)</t>
  </si>
  <si>
    <t xml:space="preserve">Patients screened</t>
  </si>
  <si>
    <t xml:space="preserve">Size of Isaac's test set (20% of 15,000 rows)</t>
  </si>
  <si>
    <t xml:space="preserve">High-risk prevalence</t>
  </si>
  <si>
    <t xml:space="preserve">Observed class balance in the dataset (y.mean() = 0.15)</t>
  </si>
  <si>
    <t xml:space="preserve">Cost of a missed High-risk case</t>
  </si>
  <si>
    <t xml:space="preserve">ILLUSTRATIVE assumption, change it. Relative units; 10 means a miss is 10x worse than a false alarm</t>
  </si>
  <si>
    <t xml:space="preserve">Cost of a false alarm</t>
  </si>
  <si>
    <t xml:space="preserve">Reference unit</t>
  </si>
  <si>
    <t xml:space="preserve">Threshold</t>
  </si>
  <si>
    <t xml:space="preserve">Precision</t>
  </si>
  <si>
    <t xml:space="preserve">Recall</t>
  </si>
  <si>
    <t xml:space="preserve">F1</t>
  </si>
  <si>
    <t xml:space="preserve">Caught (TP)</t>
  </si>
  <si>
    <t xml:space="preserve">Missed (FN)</t>
  </si>
  <si>
    <t xml:space="preserve">False alarms (FP)</t>
  </si>
  <si>
    <t xml:space="preserve">Total cost</t>
  </si>
  <si>
    <t xml:space="preserve">Lowest cost?</t>
  </si>
  <si>
    <t xml:space="preserve">Notes</t>
  </si>
  <si>
    <t xml:space="preserve">Precision and recall are hardcoded from your cross_val_predict output on the TRAINING set (blue). F1 is computed: 2*P*R/(P+R).</t>
  </si>
  <si>
    <t xml:space="preserve">Caught = patients*prevalence*recall. Missed = patients*prevalence*(1-recall). False alarms = TP*(1-precision)/precision.</t>
  </si>
  <si>
    <t xml:space="preserve">Counts are scaled estimates for a screened population of the size in B3, not exact test-set counts.</t>
  </si>
  <si>
    <t xml:space="preserve">Try it: set B5 to 1 (equal cost) and watch the lowest-cost threshold move from 0.2 toward 0.5. The right threshold depends on the cost ratio, not on F1 alone.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</si>
</sst>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"/>
    <numFmt numFmtId="167" formatCode="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0.688</v>
      </c>
      <c r="C4" s="4" t="n">
        <v>0.022</v>
      </c>
      <c r="D4" s="5" t="n">
        <f aca="false">B4-C4</f>
        <v>0.666</v>
      </c>
      <c r="E4" s="5" t="n">
        <f aca="false">B4+C4</f>
        <v>0.71</v>
      </c>
      <c r="F4" s="3" t="str">
        <f aca="false">IF(B4&gt;=INDEX($B$4:$B$8,MATCH(MAX($B$4:$B$8),$B$4:$B$8,0))-INDEX($C$4:$C$8,MATCH(MAX($B$4:$B$8),$B$4:$B$8,0)),"Tied with best","Worse")</f>
        <v>Worse</v>
      </c>
    </row>
    <row r="5" customFormat="false" ht="15" hidden="false" customHeight="false" outlineLevel="0" collapsed="false">
      <c r="A5" s="3" t="s">
        <v>8</v>
      </c>
      <c r="B5" s="4" t="n">
        <v>0.72</v>
      </c>
      <c r="C5" s="4" t="n">
        <v>0.007</v>
      </c>
      <c r="D5" s="5" t="n">
        <f aca="false">B5-C5</f>
        <v>0.713</v>
      </c>
      <c r="E5" s="5" t="n">
        <f aca="false">B5+C5</f>
        <v>0.727</v>
      </c>
      <c r="F5" s="3" t="str">
        <f aca="false">IF(B5&gt;=INDEX($B$4:$B$8,MATCH(MAX($B$4:$B$8),$B$4:$B$8,0))-INDEX($C$4:$C$8,MATCH(MAX($B$4:$B$8),$B$4:$B$8,0)),"Tied with best","Worse")</f>
        <v>Worse</v>
      </c>
    </row>
    <row r="6" customFormat="false" ht="15" hidden="false" customHeight="false" outlineLevel="0" collapsed="false">
      <c r="A6" s="3" t="s">
        <v>9</v>
      </c>
      <c r="B6" s="4" t="n">
        <v>0.741</v>
      </c>
      <c r="C6" s="4" t="n">
        <v>0.013</v>
      </c>
      <c r="D6" s="5" t="n">
        <f aca="false">B6-C6</f>
        <v>0.728</v>
      </c>
      <c r="E6" s="5" t="n">
        <f aca="false">B6+C6</f>
        <v>0.754</v>
      </c>
      <c r="F6" s="3" t="str">
        <f aca="false">IF(B6&gt;=INDEX($B$4:$B$8,MATCH(MAX($B$4:$B$8),$B$4:$B$8,0))-INDEX($C$4:$C$8,MATCH(MAX($B$4:$B$8),$B$4:$B$8,0)),"Tied with best","Worse")</f>
        <v>Tied with best</v>
      </c>
    </row>
    <row r="7" customFormat="false" ht="15" hidden="false" customHeight="false" outlineLevel="0" collapsed="false">
      <c r="A7" s="3" t="s">
        <v>10</v>
      </c>
      <c r="B7" s="4" t="n">
        <v>0.744</v>
      </c>
      <c r="C7" s="4" t="n">
        <v>0.011</v>
      </c>
      <c r="D7" s="5" t="n">
        <f aca="false">B7-C7</f>
        <v>0.733</v>
      </c>
      <c r="E7" s="5" t="n">
        <f aca="false">B7+C7</f>
        <v>0.755</v>
      </c>
      <c r="F7" s="3" t="str">
        <f aca="false">IF(B7&gt;=INDEX($B$4:$B$8,MATCH(MAX($B$4:$B$8),$B$4:$B$8,0))-INDEX($C$4:$C$8,MATCH(MAX($B$4:$B$8),$B$4:$B$8,0)),"Tied with best","Worse")</f>
        <v>Tied with best</v>
      </c>
    </row>
    <row r="8" customFormat="false" ht="15" hidden="false" customHeight="false" outlineLevel="0" collapsed="false">
      <c r="A8" s="3" t="s">
        <v>11</v>
      </c>
      <c r="B8" s="4" t="n">
        <v>0.74</v>
      </c>
      <c r="C8" s="4" t="n">
        <v>0.012</v>
      </c>
      <c r="D8" s="5" t="n">
        <f aca="false">B8-C8</f>
        <v>0.728</v>
      </c>
      <c r="E8" s="5" t="n">
        <f aca="false">B8+C8</f>
        <v>0.752</v>
      </c>
      <c r="F8" s="3" t="str">
        <f aca="false">IF(B8&gt;=INDEX($B$4:$B$8,MATCH(MAX($B$4:$B$8),$B$4:$B$8,0))-INDEX($C$4:$C$8,MATCH(MAX($B$4:$B$8),$B$4:$B$8,0)),"Tied with best","Worse")</f>
        <v>Tied with best</v>
      </c>
    </row>
    <row r="10" customFormat="false" ht="15" hidden="false" customHeight="false" outlineLevel="0" collapsed="false">
      <c r="A10" s="6" t="s">
        <v>12</v>
      </c>
    </row>
    <row r="11" customFormat="false" ht="15" hidden="false" customHeight="false" outlineLevel="0" collapsed="false">
      <c r="A11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5"/>
  </cols>
  <sheetData>
    <row r="1" customFormat="false" ht="16.15" hidden="false" customHeight="false" outlineLevel="0" collapsed="false">
      <c r="A1" s="1" t="s">
        <v>14</v>
      </c>
    </row>
    <row r="3" customFormat="false" ht="15" hidden="false" customHeight="false" outlineLevel="0" collapsed="false">
      <c r="A3" s="7" t="s">
        <v>15</v>
      </c>
      <c r="B3" s="8" t="n">
        <v>3000</v>
      </c>
      <c r="C3" s="6" t="s">
        <v>16</v>
      </c>
    </row>
    <row r="4" customFormat="false" ht="15" hidden="false" customHeight="false" outlineLevel="0" collapsed="false">
      <c r="A4" s="7" t="s">
        <v>17</v>
      </c>
      <c r="B4" s="9" t="n">
        <v>0.15</v>
      </c>
      <c r="C4" s="6" t="s">
        <v>18</v>
      </c>
    </row>
    <row r="5" customFormat="false" ht="15" hidden="false" customHeight="false" outlineLevel="0" collapsed="false">
      <c r="A5" s="7" t="s">
        <v>19</v>
      </c>
      <c r="B5" s="10" t="n">
        <v>10</v>
      </c>
      <c r="C5" s="6" t="s">
        <v>20</v>
      </c>
    </row>
    <row r="6" customFormat="false" ht="15" hidden="false" customHeight="false" outlineLevel="0" collapsed="false">
      <c r="A6" s="7" t="s">
        <v>21</v>
      </c>
      <c r="B6" s="10" t="n">
        <v>1</v>
      </c>
      <c r="C6" s="6" t="s">
        <v>22</v>
      </c>
    </row>
    <row r="8" customFormat="false" ht="31.5" hidden="false" customHeight="true" outlineLevel="0" collapsed="false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</row>
    <row r="9" customFormat="false" ht="15" hidden="false" customHeight="false" outlineLevel="0" collapsed="false">
      <c r="A9" s="11" t="n">
        <v>0.2</v>
      </c>
      <c r="B9" s="4" t="n">
        <v>0.615</v>
      </c>
      <c r="C9" s="4" t="n">
        <v>0.87</v>
      </c>
      <c r="D9" s="5" t="n">
        <f aca="false">2*B9*C9/(B9+C9)</f>
        <v>0.720606060606061</v>
      </c>
      <c r="E9" s="12" t="n">
        <f aca="false">$B$3*$B$4*C9</f>
        <v>391.5</v>
      </c>
      <c r="F9" s="12" t="n">
        <f aca="false">$B$3*$B$4*(1-C9)</f>
        <v>58.5</v>
      </c>
      <c r="G9" s="12" t="n">
        <f aca="false">E9*(1-B9)/B9</f>
        <v>245.085365853659</v>
      </c>
      <c r="H9" s="12" t="n">
        <f aca="false">$B$5*F9+$B$6*G9</f>
        <v>830.085365853659</v>
      </c>
      <c r="I9" s="13" t="str">
        <f aca="false">IF(H9=MIN($H$9:$H$13),"&lt;&lt; lowest","")</f>
        <v>&lt;&lt; lowest</v>
      </c>
    </row>
    <row r="10" customFormat="false" ht="15" hidden="false" customHeight="false" outlineLevel="0" collapsed="false">
      <c r="A10" s="11" t="n">
        <v>0.3</v>
      </c>
      <c r="B10" s="4" t="n">
        <v>0.706</v>
      </c>
      <c r="C10" s="4" t="n">
        <v>0.803</v>
      </c>
      <c r="D10" s="5" t="n">
        <f aca="false">2*B10*C10/(B10+C10)</f>
        <v>0.751382372432074</v>
      </c>
      <c r="E10" s="12" t="n">
        <f aca="false">$B$3*$B$4*C10</f>
        <v>361.35</v>
      </c>
      <c r="F10" s="12" t="n">
        <f aca="false">$B$3*$B$4*(1-C10)</f>
        <v>88.65</v>
      </c>
      <c r="G10" s="12" t="n">
        <f aca="false">E10*(1-B10)/B10</f>
        <v>150.477195467422</v>
      </c>
      <c r="H10" s="12" t="n">
        <f aca="false">$B$5*F10+$B$6*G10</f>
        <v>1036.97719546742</v>
      </c>
      <c r="I10" s="13" t="str">
        <f aca="false">IF(H10=MIN($H$9:$H$13),"&lt;&lt; lowest","")</f>
        <v/>
      </c>
    </row>
    <row r="11" customFormat="false" ht="15" hidden="false" customHeight="false" outlineLevel="0" collapsed="false">
      <c r="A11" s="11" t="n">
        <v>0.4</v>
      </c>
      <c r="B11" s="4" t="n">
        <v>0.778</v>
      </c>
      <c r="C11" s="4" t="n">
        <v>0.733</v>
      </c>
      <c r="D11" s="5" t="n">
        <f aca="false">2*B11*C11/(B11+C11)</f>
        <v>0.754829913964262</v>
      </c>
      <c r="E11" s="12" t="n">
        <f aca="false">$B$3*$B$4*C11</f>
        <v>329.85</v>
      </c>
      <c r="F11" s="12" t="n">
        <f aca="false">$B$3*$B$4*(1-C11)</f>
        <v>120.15</v>
      </c>
      <c r="G11" s="12" t="n">
        <f aca="false">E11*(1-B11)/B11</f>
        <v>94.1217223650385</v>
      </c>
      <c r="H11" s="12" t="n">
        <f aca="false">$B$5*F11+$B$6*G11</f>
        <v>1295.62172236504</v>
      </c>
      <c r="I11" s="13" t="str">
        <f aca="false">IF(H11=MIN($H$9:$H$13),"&lt;&lt; lowest","")</f>
        <v/>
      </c>
    </row>
    <row r="12" customFormat="false" ht="15" hidden="false" customHeight="false" outlineLevel="0" collapsed="false">
      <c r="A12" s="11" t="n">
        <v>0.5</v>
      </c>
      <c r="B12" s="4" t="n">
        <v>0.837</v>
      </c>
      <c r="C12" s="4" t="n">
        <v>0.665</v>
      </c>
      <c r="D12" s="5" t="n">
        <f aca="false">2*B12*C12/(B12+C12)</f>
        <v>0.741151797603196</v>
      </c>
      <c r="E12" s="12" t="n">
        <f aca="false">$B$3*$B$4*C12</f>
        <v>299.25</v>
      </c>
      <c r="F12" s="12" t="n">
        <f aca="false">$B$3*$B$4*(1-C12)</f>
        <v>150.75</v>
      </c>
      <c r="G12" s="12" t="n">
        <f aca="false">E12*(1-B12)/B12</f>
        <v>58.2768817204301</v>
      </c>
      <c r="H12" s="12" t="n">
        <f aca="false">$B$5*F12+$B$6*G12</f>
        <v>1565.77688172043</v>
      </c>
      <c r="I12" s="13" t="str">
        <f aca="false">IF(H12=MIN($H$9:$H$13),"&lt;&lt; lowest","")</f>
        <v/>
      </c>
    </row>
    <row r="13" customFormat="false" ht="15" hidden="false" customHeight="false" outlineLevel="0" collapsed="false">
      <c r="A13" s="11" t="n">
        <v>0.6</v>
      </c>
      <c r="B13" s="4" t="n">
        <v>0.889</v>
      </c>
      <c r="C13" s="4" t="n">
        <v>0.595</v>
      </c>
      <c r="D13" s="5" t="n">
        <f aca="false">2*B13*C13/(B13+C13)</f>
        <v>0.712877358490566</v>
      </c>
      <c r="E13" s="12" t="n">
        <f aca="false">$B$3*$B$4*C13</f>
        <v>267.75</v>
      </c>
      <c r="F13" s="12" t="n">
        <f aca="false">$B$3*$B$4*(1-C13)</f>
        <v>182.25</v>
      </c>
      <c r="G13" s="12" t="n">
        <f aca="false">E13*(1-B13)/B13</f>
        <v>33.4311023622047</v>
      </c>
      <c r="H13" s="12" t="n">
        <f aca="false">$B$5*F13+$B$6*G13</f>
        <v>1855.9311023622</v>
      </c>
      <c r="I13" s="13" t="str">
        <f aca="false">IF(H13=MIN($H$9:$H$13),"&lt;&lt; lowest","")</f>
        <v/>
      </c>
    </row>
    <row r="15" customFormat="false" ht="15" hidden="false" customHeight="false" outlineLevel="0" collapsed="false">
      <c r="A15" s="7" t="s">
        <v>32</v>
      </c>
    </row>
    <row r="16" customFormat="false" ht="15" hidden="false" customHeight="false" outlineLevel="0" collapsed="false">
      <c r="A16" s="6" t="s">
        <v>33</v>
      </c>
    </row>
    <row r="17" customFormat="false" ht="15" hidden="false" customHeight="false" outlineLevel="0" collapsed="false">
      <c r="A17" s="6" t="s">
        <v>34</v>
      </c>
    </row>
    <row r="18" customFormat="false" ht="15" hidden="false" customHeight="false" outlineLevel="0" collapsed="false">
      <c r="A18" s="6" t="s">
        <v>35</v>
      </c>
    </row>
    <row r="19" customFormat="false" ht="15" hidden="false" customHeight="false" outlineLevel="0" collapsed="false">
      <c r="A19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2026-10-14T09:52:42Z</dcterms:created>
  <dc:creator>openpyxl</dc:creator>
  <dc:description/>
  <dc:language>en-US</dc:language>
  <cp:lastModifiedBy/>
  <dcterms:modified xsi:type="dcterms:W3CDTF">2026-10-14T09:52:42Z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